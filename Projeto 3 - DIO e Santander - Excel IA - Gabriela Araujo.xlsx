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abriela\Desktop\Gabi\Certificados Curso Execel IA\Modulo 3\"/>
    </mc:Choice>
  </mc:AlternateContent>
  <xr:revisionPtr revIDLastSave="0" documentId="13_ncr:1_{A5B2A76B-D084-4606-B7BC-BCC46470460C}" xr6:coauthVersionLast="47" xr6:coauthVersionMax="47" xr10:uidLastSave="{00000000-0000-0000-0000-000000000000}"/>
  <bookViews>
    <workbookView xWindow="-120" yWindow="-120" windowWidth="20640" windowHeight="11040" tabRatio="209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3" l="1"/>
  <c r="F31" i="3"/>
</calcChain>
</file>

<file path=xl/sharedStrings.xml><?xml version="1.0" encoding="utf-8"?>
<sst xmlns="http://schemas.openxmlformats.org/spreadsheetml/2006/main" count="2028" uniqueCount="324">
  <si>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</si>
  <si>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</si>
  <si>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</si>
  <si>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</si>
  <si>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</si>
  <si>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</si>
  <si>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</si>
  <si>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</si>
  <si>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</si>
  <si>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</si>
  <si>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</si>
  <si>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</si>
  <si>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</si>
  <si>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</si>
  <si>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</si>
  <si>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</si>
  <si>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</si>
  <si>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</si>
  <si>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</si>
  <si>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</si>
  <si>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</si>
  <si>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</si>
  <si>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</si>
  <si>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</si>
  <si>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</si>
  <si>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</si>
  <si>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</si>
  <si>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</si>
  <si>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</si>
  <si>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</si>
  <si>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</si>
  <si>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</si>
  <si>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</si>
  <si>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</si>
  <si>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</si>
  <si>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</si>
  <si>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</si>
  <si>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</si>
  <si>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</si>
  <si>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</si>
  <si>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</si>
  <si>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</si>
  <si>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</si>
  <si>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</si>
  <si>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</si>
  <si>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</si>
  <si>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</si>
  <si>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</si>
  <si>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</si>
  <si>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</si>
  <si>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</si>
  <si>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</si>
  <si>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</si>
  <si>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</si>
  <si>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</si>
  <si>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</si>
  <si>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</si>
  <si>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</si>
  <si>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</si>
  <si>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</si>
  <si>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</si>
  <si>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</si>
  <si>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</si>
  <si>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</si>
  <si>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</si>
  <si>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</si>
  <si>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</si>
  <si>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</si>
  <si>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</si>
  <si>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</si>
  <si>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</si>
  <si>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</si>
  <si>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</si>
  <si>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</si>
  <si>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</si>
  <si>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</si>
  <si>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</si>
  <si>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</si>
  <si>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</si>
  <si>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</si>
  <si>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</si>
  <si>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</si>
  <si>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</si>
  <si>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</si>
  <si>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</si>
  <si>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</si>
  <si>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</si>
  <si>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</si>
  <si>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</si>
  <si>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</si>
  <si>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</si>
  <si>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</si>
  <si>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</si>
  <si>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</si>
  <si>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</si>
  <si>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</si>
  <si>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</si>
  <si>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</si>
  <si>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</si>
  <si>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</si>
  <si>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</si>
  <si>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</si>
  <si>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</si>
  <si>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</si>
  <si>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</si>
  <si>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</si>
  <si>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</si>
  <si>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</si>
  <si>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</si>
  <si>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</si>
  <si>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</si>
  <si>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</si>
  <si>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</si>
  <si>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</si>
  <si>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</si>
  <si>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</si>
  <si>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</si>
  <si>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</si>
  <si>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</si>
  <si>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</si>
  <si>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</si>
  <si>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</si>
  <si>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</si>
  <si>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</si>
  <si>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</si>
  <si>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</si>
  <si>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</si>
  <si>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</si>
  <si>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</si>
  <si>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</si>
  <si>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</si>
  <si>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</si>
  <si>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</si>
  <si>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</si>
  <si>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</si>
  <si>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</si>
  <si>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</si>
  <si>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</si>
  <si>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</si>
  <si>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</si>
  <si>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</si>
  <si>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</si>
  <si>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</si>
  <si>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</si>
  <si>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</si>
  <si>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</si>
  <si>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</si>
  <si>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</si>
  <si>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</si>
  <si>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</si>
  <si>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</si>
  <si>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</si>
  <si>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</si>
  <si>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</si>
  <si>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</si>
  <si>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</si>
  <si>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</si>
  <si>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</si>
  <si>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</si>
  <si>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</si>
  <si>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</si>
  <si>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</si>
  <si>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</si>
  <si>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</si>
  <si>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</si>
  <si>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</si>
  <si>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</si>
  <si>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</si>
  <si>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</si>
  <si>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</si>
  <si>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</si>
  <si>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</si>
  <si>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</si>
  <si>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</si>
  <si>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</si>
  <si>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</si>
  <si>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</si>
  <si>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</si>
  <si>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</si>
  <si>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</si>
  <si>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</si>
  <si>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</si>
  <si>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</si>
  <si>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</si>
  <si>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</si>
  <si>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</si>
  <si>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</si>
  <si>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</si>
  <si>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</si>
  <si>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</si>
  <si>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</si>
  <si>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</si>
  <si>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</si>
  <si>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</si>
  <si>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</si>
  <si>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</si>
  <si>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</si>
  <si>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</si>
  <si>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</si>
  <si>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</si>
  <si>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</si>
  <si>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</si>
  <si>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</si>
  <si>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</si>
  <si>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</si>
  <si>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</si>
  <si>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</si>
  <si>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</si>
  <si>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</si>
  <si>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</si>
  <si>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</si>
  <si>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</si>
  <si>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</si>
  <si>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</si>
  <si>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</si>
  <si>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</si>
  <si>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</si>
  <si>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</si>
  <si>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</si>
  <si>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</si>
  <si>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</si>
  <si>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</si>
  <si>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</si>
  <si>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</si>
  <si>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</si>
  <si>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</si>
  <si>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</si>
  <si>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</si>
  <si>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</si>
  <si>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</si>
  <si>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</si>
  <si>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</si>
  <si>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</si>
  <si>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</si>
  <si>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</si>
  <si>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</si>
  <si>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</si>
  <si>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</si>
  <si>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</si>
  <si>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</si>
  <si>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</si>
  <si>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</si>
  <si>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</si>
  <si>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</si>
  <si>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</si>
  <si>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</si>
  <si>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</si>
  <si>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</si>
  <si>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</si>
  <si>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</si>
  <si>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</si>
  <si>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</si>
  <si>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</si>
  <si>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</si>
  <si>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</si>
  <si>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</si>
  <si>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</si>
  <si>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</si>
  <si>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</si>
  <si>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</si>
  <si>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</si>
  <si>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</si>
  <si>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</si>
  <si>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</si>
  <si>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</si>
  <si>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</si>
  <si>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</si>
  <si>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</si>
  <si>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</si>
  <si>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</si>
  <si>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</si>
  <si>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</si>
  <si>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</si>
  <si>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</si>
  <si>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</si>
  <si>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</si>
  <si>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</si>
  <si>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</si>
  <si>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</si>
  <si>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</si>
  <si>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</si>
  <si>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</si>
  <si>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</si>
  <si>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</si>
  <si>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</si>
  <si>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</si>
  <si>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</si>
  <si>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</si>
  <si>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</si>
  <si>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</si>
  <si>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</si>
  <si>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</si>
  <si>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</si>
  <si>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</si>
  <si>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</si>
  <si>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</si>
  <si>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</si>
  <si>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</si>
  <si>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</si>
  <si>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</si>
  <si>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</si>
  <si>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</si>
  <si>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</si>
  <si>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</si>
  <si>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</si>
  <si>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</si>
  <si>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</si>
  <si>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</si>
  <si>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</si>
  <si>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</si>
  <si>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</si>
  <si>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negocio 1 - Qual é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</si>
  <si>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t>É uma pergunta de negocio respondida atraves de um analise de dados especifica</t>
  </si>
  <si>
    <r>
      <t>Pergunta de negocio 2 - Qual faturamento</t>
    </r>
    <r>
      <rPr>
        <b/>
        <sz val="11"/>
        <color theme="1"/>
        <rFont val="Aptos Narrow"/>
        <family val="2"/>
        <scheme val="minor"/>
      </rPr>
      <t xml:space="preserve"> 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separados por auto renovação ou não é por auto renovação</t>
    </r>
  </si>
  <si>
    <t>#2AE6B1</t>
  </si>
  <si>
    <t>#5BF6A8</t>
  </si>
  <si>
    <t>#E8E6E9</t>
  </si>
  <si>
    <t>#22C55E</t>
  </si>
  <si>
    <t>#9BC848</t>
  </si>
  <si>
    <t>XBOX GAME PASS SUBSCRIPTIONS SALES</t>
  </si>
  <si>
    <t>Pergunta de negocio 3 - Total de vendas de assinaturas do EA Play</t>
  </si>
  <si>
    <t>Soma de Minecraft Season Pass Price</t>
  </si>
  <si>
    <t>Soma de EA Play Season Pass</t>
  </si>
  <si>
    <t>Pergunta de negocio 4 -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</si>
</sst>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9BC84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0" fillId="0" borderId="0" xfId="0" applyNumberFormat="1"/>
    <xf numFmtId="44" fontId="0" fillId="0" borderId="0" xfId="2" applyFont="1"/>
    <xf numFmtId="0" fontId="5" fillId="0" borderId="2" xfId="1" applyFont="1" applyBorder="1"/>
    <xf numFmtId="0" fontId="0" fillId="0" borderId="2" xfId="0" applyBorder="1"/>
    <xf numFmtId="0" fontId="5" fillId="0" borderId="2" xfId="1" applyFont="1" applyBorder="1" applyAlignment="1">
      <alignment horizontal="left" indent="6"/>
    </xf>
  </cellXfs>
  <cellStyles count="4">
    <cellStyle name="Cabeçalho 1" xfId="1" builtinId="16"/>
    <cellStyle name="Moeda" xfId="2" builtinId="4"/>
    <cellStyle name="Neutro" xfId="3" builtinId="28"/>
    <cellStyle name="Normal" xfId="0" builtinId="0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9BC84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175430C1-C21D-458E-A940-79AF688C60BB}">
      <tableStyleElement type="wholeTable" dxfId="1"/>
      <tableStyleElement type="headerRow" dxfId="0"/>
    </tableStyle>
  </tableStyles>
  <colors>
    <mruColors>
      <color rgb="FF9BC848"/>
      <color rgb="FF2AE6B1"/>
      <color rgb="FF5BF6A8"/>
      <color rgb="FFE8E6E9"/>
      <color rgb="FF22C55E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3 - DIO e Santander - Excel IA - Gabriela Araujo.xlsx]C̳álculos!tbl_annual_total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956433316534376E-2"/>
          <c:y val="0.21283408013650579"/>
          <c:w val="0.8902246247686264"/>
          <c:h val="0.697437223332158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C̳álculos!$C$18:$C$20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C̳álculos!$D$18:$D$20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1-4F76-85A1-7D0129100C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1471343"/>
        <c:axId val="1481467983"/>
      </c:barChart>
      <c:catAx>
        <c:axId val="148147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1467983"/>
        <c:crosses val="autoZero"/>
        <c:auto val="1"/>
        <c:lblAlgn val="ctr"/>
        <c:lblOffset val="100"/>
        <c:noMultiLvlLbl val="0"/>
      </c:catAx>
      <c:valAx>
        <c:axId val="14814679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8147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10583</xdr:colOff>
      <xdr:row>1</xdr:row>
      <xdr:rowOff>0</xdr:rowOff>
    </xdr:from>
    <xdr:to>
      <xdr:col>12</xdr:col>
      <xdr:colOff>315383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843000" y="381000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71438</xdr:colOff>
      <xdr:row>7</xdr:row>
      <xdr:rowOff>357188</xdr:rowOff>
    </xdr:from>
    <xdr:to>
      <xdr:col>0</xdr:col>
      <xdr:colOff>1927412</xdr:colOff>
      <xdr:row>14</xdr:row>
      <xdr:rowOff>73819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0F17F2BA-C74F-4D57-B22B-757C774502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1567423"/>
              <a:ext cx="1855974" cy="1274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18209</xdr:colOff>
      <xdr:row>0</xdr:row>
      <xdr:rowOff>119062</xdr:rowOff>
    </xdr:from>
    <xdr:to>
      <xdr:col>2</xdr:col>
      <xdr:colOff>387303</xdr:colOff>
      <xdr:row>2</xdr:row>
      <xdr:rowOff>202406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02DD6CB-5607-44B6-A3DC-CAA95AB3F3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8636" r="72359" b="21962"/>
        <a:stretch>
          <a:fillRect/>
        </a:stretch>
      </xdr:blipFill>
      <xdr:spPr>
        <a:xfrm>
          <a:off x="1952625" y="119062"/>
          <a:ext cx="607219" cy="607219"/>
        </a:xfrm>
        <a:prstGeom prst="rect">
          <a:avLst/>
        </a:prstGeom>
      </xdr:spPr>
    </xdr:pic>
    <xdr:clientData/>
  </xdr:twoCellAnchor>
  <xdr:twoCellAnchor editAs="absolute">
    <xdr:from>
      <xdr:col>1</xdr:col>
      <xdr:colOff>80540</xdr:colOff>
      <xdr:row>6</xdr:row>
      <xdr:rowOff>69334</xdr:rowOff>
    </xdr:from>
    <xdr:to>
      <xdr:col>10</xdr:col>
      <xdr:colOff>175791</xdr:colOff>
      <xdr:row>13</xdr:row>
      <xdr:rowOff>178453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5830AC07-2CA4-DD20-6533-BABF2F3CCCD5}"/>
            </a:ext>
          </a:extLst>
        </xdr:cNvPr>
        <xdr:cNvGrpSpPr/>
      </xdr:nvGrpSpPr>
      <xdr:grpSpPr>
        <a:xfrm>
          <a:off x="2019158" y="1156305"/>
          <a:ext cx="5171515" cy="1599501"/>
          <a:chOff x="2012155" y="869156"/>
          <a:chExt cx="5191126" cy="158829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4EEB0872-CEFA-89D8-16FD-F130231B7982}"/>
              </a:ext>
            </a:extLst>
          </xdr:cNvPr>
          <xdr:cNvSpPr/>
        </xdr:nvSpPr>
        <xdr:spPr>
          <a:xfrm>
            <a:off x="2012155" y="952500"/>
            <a:ext cx="5191125" cy="14763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1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F7592B4F-2A13-4D8E-8054-6BC7D9B043A2}"/>
              </a:ext>
            </a:extLst>
          </xdr:cNvPr>
          <xdr:cNvSpPr/>
        </xdr:nvSpPr>
        <xdr:spPr>
          <a:xfrm>
            <a:off x="3964780" y="1389490"/>
            <a:ext cx="2761820" cy="93041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146445E-5F53-41D0-8115-1F330D527E3A}" type="TxLink">
              <a:rPr lang="en-US" sz="3600" b="0" i="0" u="none" strike="noStrike">
                <a:solidFill>
                  <a:srgbClr val="9BC848"/>
                </a:solidFill>
                <a:latin typeface="Aptos Narrow"/>
              </a:rPr>
              <a:pPr algn="ctr"/>
              <a:t> R$ 990,00 </a:t>
            </a:fld>
            <a:endParaRPr lang="en-US" sz="3600">
              <a:solidFill>
                <a:srgbClr val="9BC848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C55872AA-150F-4F09-9E22-BB250275B6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1781" y="1238251"/>
            <a:ext cx="1219200" cy="1219200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0BFDB15A-DAB6-067E-F08E-EA4E28B950E6}"/>
              </a:ext>
            </a:extLst>
          </xdr:cNvPr>
          <xdr:cNvSpPr/>
        </xdr:nvSpPr>
        <xdr:spPr>
          <a:xfrm>
            <a:off x="2024062" y="869156"/>
            <a:ext cx="5179219" cy="511969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SUBSCRIPTIONS EA PLAY SEASON PASS</a:t>
            </a:r>
          </a:p>
        </xdr:txBody>
      </xdr:sp>
    </xdr:grpSp>
    <xdr:clientData/>
  </xdr:twoCellAnchor>
  <xdr:twoCellAnchor editAs="absolute">
    <xdr:from>
      <xdr:col>10</xdr:col>
      <xdr:colOff>361107</xdr:colOff>
      <xdr:row>6</xdr:row>
      <xdr:rowOff>83622</xdr:rowOff>
    </xdr:from>
    <xdr:to>
      <xdr:col>19</xdr:col>
      <xdr:colOff>516170</xdr:colOff>
      <xdr:row>13</xdr:row>
      <xdr:rowOff>164165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8067B65-B5CE-0D60-21BE-2836E0BD8FC8}"/>
            </a:ext>
          </a:extLst>
        </xdr:cNvPr>
        <xdr:cNvGrpSpPr/>
      </xdr:nvGrpSpPr>
      <xdr:grpSpPr>
        <a:xfrm>
          <a:off x="7375989" y="1170593"/>
          <a:ext cx="5433034" cy="1570925"/>
          <a:chOff x="7391399" y="878681"/>
          <a:chExt cx="5191126" cy="1559719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08C47627-027F-45A3-8128-01A170E144C7}"/>
              </a:ext>
            </a:extLst>
          </xdr:cNvPr>
          <xdr:cNvGrpSpPr/>
        </xdr:nvGrpSpPr>
        <xdr:grpSpPr>
          <a:xfrm>
            <a:off x="7391399" y="878681"/>
            <a:ext cx="5191126" cy="1559719"/>
            <a:chOff x="2012155" y="869156"/>
            <a:chExt cx="5191126" cy="1559719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628BCF73-661C-DEE2-2D68-65240CAB6E56}"/>
                </a:ext>
              </a:extLst>
            </xdr:cNvPr>
            <xdr:cNvSpPr/>
          </xdr:nvSpPr>
          <xdr:spPr>
            <a:xfrm>
              <a:off x="2012155" y="952500"/>
              <a:ext cx="5191125" cy="14763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44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28362375-F134-764B-73EB-992D87DD3DC3}"/>
                </a:ext>
              </a:extLst>
            </xdr:cNvPr>
            <xdr:cNvSpPr/>
          </xdr:nvSpPr>
          <xdr:spPr>
            <a:xfrm>
              <a:off x="3964780" y="1389490"/>
              <a:ext cx="2761820" cy="93041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F2276AC-379E-4E8D-8478-2D955A467B71}" type="TxLink">
                <a:rPr lang="en-US" sz="3600" b="0" i="0" u="none" strike="noStrike">
                  <a:solidFill>
                    <a:srgbClr val="9BC848"/>
                  </a:solidFill>
                  <a:latin typeface="Aptos Narrow"/>
                </a:rPr>
                <a:t> R$ 1.140,00 </a:t>
              </a:fld>
              <a:endParaRPr lang="en-US" sz="3600">
                <a:solidFill>
                  <a:srgbClr val="9BC848"/>
                </a:solidFill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FC4BFA6C-CDCC-8FEC-D80B-A553DBBC8775}"/>
                </a:ext>
              </a:extLst>
            </xdr:cNvPr>
            <xdr:cNvSpPr/>
          </xdr:nvSpPr>
          <xdr:spPr>
            <a:xfrm>
              <a:off x="2024062" y="869156"/>
              <a:ext cx="5179219" cy="511969"/>
            </a:xfrm>
            <a:prstGeom prst="round2SameRect">
              <a:avLst/>
            </a:prstGeom>
            <a:solidFill>
              <a:srgbClr val="9BC84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/>
                <a:t>TOTAL</a:t>
              </a:r>
              <a:r>
                <a:rPr lang="pt-BR" sz="1400" b="1" baseline="0"/>
                <a:t> SUBSCRIPTIONS MINECRAFT SEASON PASS</a:t>
              </a: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AA1DCBF4-16EF-48AB-9A7D-93C0FCF7294A}"/>
              </a:ext>
            </a:extLst>
          </xdr:cNvPr>
          <xdr:cNvGrpSpPr/>
        </xdr:nvGrpSpPr>
        <xdr:grpSpPr>
          <a:xfrm>
            <a:off x="8129587" y="1485900"/>
            <a:ext cx="1383507" cy="645319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CA4D1460-49A3-A604-F206-16ADEA9884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B5B18D65-4F45-9ED3-271A-E365624333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113459</xdr:colOff>
      <xdr:row>14</xdr:row>
      <xdr:rowOff>59531</xdr:rowOff>
    </xdr:from>
    <xdr:to>
      <xdr:col>19</xdr:col>
      <xdr:colOff>528077</xdr:colOff>
      <xdr:row>30</xdr:row>
      <xdr:rowOff>107156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39B2AABA-FF2F-9342-F2C5-BFFF2E791FFB}"/>
            </a:ext>
          </a:extLst>
        </xdr:cNvPr>
        <xdr:cNvGrpSpPr/>
      </xdr:nvGrpSpPr>
      <xdr:grpSpPr>
        <a:xfrm>
          <a:off x="2052077" y="2827384"/>
          <a:ext cx="10768853" cy="3095625"/>
          <a:chOff x="1940719" y="2821781"/>
          <a:chExt cx="10644187" cy="3095625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FB1A2461-9716-0E31-1713-E77B5FE4D901}"/>
              </a:ext>
            </a:extLst>
          </xdr:cNvPr>
          <xdr:cNvGrpSpPr/>
        </xdr:nvGrpSpPr>
        <xdr:grpSpPr>
          <a:xfrm>
            <a:off x="1940719" y="2821781"/>
            <a:ext cx="10632281" cy="3095625"/>
            <a:chOff x="1916907" y="1095375"/>
            <a:chExt cx="2940844" cy="133350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1D1C4834-AE57-D791-D8D4-1CD4C048A0B1}"/>
                </a:ext>
              </a:extLst>
            </xdr:cNvPr>
            <xdr:cNvSpPr/>
          </xdr:nvSpPr>
          <xdr:spPr>
            <a:xfrm>
              <a:off x="1916907" y="1095375"/>
              <a:ext cx="2940844" cy="13335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DB90128-3D33-4F20-80A2-EB7E2483E982}"/>
                </a:ext>
              </a:extLst>
            </xdr:cNvPr>
            <xdr:cNvGraphicFramePr>
              <a:graphicFrameLocks/>
            </xdr:cNvGraphicFramePr>
          </xdr:nvGraphicFramePr>
          <xdr:xfrm>
            <a:off x="1946469" y="1157289"/>
            <a:ext cx="2851750" cy="125015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EAD5156B-20DF-4CF5-AABB-69CCBE8AA585}"/>
              </a:ext>
            </a:extLst>
          </xdr:cNvPr>
          <xdr:cNvSpPr/>
        </xdr:nvSpPr>
        <xdr:spPr>
          <a:xfrm>
            <a:off x="1940719" y="2821781"/>
            <a:ext cx="10644187" cy="511969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SUBSCRIPTIONS XBOX GAME PASS</a:t>
            </a:r>
          </a:p>
        </xdr:txBody>
      </xdr:sp>
    </xdr:grpSp>
    <xdr:clientData/>
  </xdr:twoCellAnchor>
  <xdr:twoCellAnchor editAs="absolute">
    <xdr:from>
      <xdr:col>0</xdr:col>
      <xdr:colOff>595312</xdr:colOff>
      <xdr:row>1</xdr:row>
      <xdr:rowOff>166688</xdr:rowOff>
    </xdr:from>
    <xdr:to>
      <xdr:col>0</xdr:col>
      <xdr:colOff>1290637</xdr:colOff>
      <xdr:row>5</xdr:row>
      <xdr:rowOff>100013</xdr:rowOff>
    </xdr:to>
    <xdr:sp macro="" textlink="">
      <xdr:nvSpPr>
        <xdr:cNvPr id="27" name="Elipse 8">
          <a:extLst>
            <a:ext uri="{FF2B5EF4-FFF2-40B4-BE49-F238E27FC236}">
              <a16:creationId xmlns:a16="http://schemas.microsoft.com/office/drawing/2014/main" id="{AB90B86D-A169-4D1C-8001-B16E03814650}"/>
            </a:ext>
          </a:extLst>
        </xdr:cNvPr>
        <xdr:cNvSpPr/>
      </xdr:nvSpPr>
      <xdr:spPr>
        <a:xfrm>
          <a:off x="595312" y="357188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214312</xdr:colOff>
      <xdr:row>6</xdr:row>
      <xdr:rowOff>59531</xdr:rowOff>
    </xdr:from>
    <xdr:to>
      <xdr:col>0</xdr:col>
      <xdr:colOff>1607343</xdr:colOff>
      <xdr:row>7</xdr:row>
      <xdr:rowOff>202406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6538D16A-AA48-DEA6-B441-5D5CD67C4A0A}"/>
            </a:ext>
          </a:extLst>
        </xdr:cNvPr>
        <xdr:cNvSpPr/>
      </xdr:nvSpPr>
      <xdr:spPr>
        <a:xfrm>
          <a:off x="214312" y="1143000"/>
          <a:ext cx="1393031" cy="261937"/>
        </a:xfrm>
        <a:prstGeom prst="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&gt;</a:t>
          </a:r>
          <a:r>
            <a:rPr lang="pt-BR" sz="1100" baseline="0"/>
            <a:t> Bem-vinda, Larissa</a:t>
          </a:r>
          <a:endParaRPr lang="pt-BR" sz="1100"/>
        </a:p>
      </xdr:txBody>
    </xdr:sp>
    <xdr:clientData/>
  </xdr:twoCellAnchor>
  <xdr:twoCellAnchor editAs="absolute">
    <xdr:from>
      <xdr:col>1</xdr:col>
      <xdr:colOff>56029</xdr:colOff>
      <xdr:row>3</xdr:row>
      <xdr:rowOff>78442</xdr:rowOff>
    </xdr:from>
    <xdr:to>
      <xdr:col>10</xdr:col>
      <xdr:colOff>526677</xdr:colOff>
      <xdr:row>6</xdr:row>
      <xdr:rowOff>8405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6FABE70A-2949-430C-AB23-2291ACC219B4}"/>
            </a:ext>
          </a:extLst>
        </xdr:cNvPr>
        <xdr:cNvSpPr/>
      </xdr:nvSpPr>
      <xdr:spPr>
        <a:xfrm>
          <a:off x="1994647" y="829236"/>
          <a:ext cx="5546912" cy="2661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Caculation  period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: 01/01/2026 - 31/01/2026  | Update data: 01/02/2026 15:40:00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" refreshedDate="46054.513448032405" createdVersion="8" refreshedVersion="8" minRefreshableVersion="3" recordCount="295" xr:uid="{2C105A42-BCBE-4737-A82C-CD28B726C0D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264536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9B6ED-7CCF-4D56-8D20-F914548E3EB1}" name="Tabela Dinâ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41:D4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54D41-75B6-4DE0-84CA-6ADB9A9A626F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28:D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61D87-1B85-4487-A0DB-90CB7361F45B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17:D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9D14E-1024-4B6D-AF5E-2E7FA5416754}" name="Tbl_annual_Test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7:D11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F028A3D-B487-4CDD-BD4F-6EEB80018AF6}" sourceName="Subscription Type">
  <pivotTables>
    <pivotTable tabId="3" name="tbl_annual_total"/>
    <pivotTable tabId="3" name="tbl_easeasonpass_total"/>
    <pivotTable tabId="3" name="Tabela Dinâmica5"/>
  </pivotTables>
  <data>
    <tabular pivotCacheId="1026453644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B8FAB06-8B8F-4FFA-BA5C-61C3345FF6F4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V9" sqref="V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318</v>
      </c>
      <c r="C5" t="s">
        <v>3</v>
      </c>
      <c r="E5" s="7" t="s">
        <v>316</v>
      </c>
      <c r="F5" t="s">
        <v>2</v>
      </c>
    </row>
    <row r="6" spans="2:16" x14ac:dyDescent="0.25">
      <c r="B6" s="4" t="s">
        <v>317</v>
      </c>
      <c r="C6" t="s">
        <v>3</v>
      </c>
    </row>
    <row r="7" spans="2:16" x14ac:dyDescent="0.25">
      <c r="B7" s="5" t="s">
        <v>314</v>
      </c>
      <c r="C7" t="s">
        <v>4</v>
      </c>
    </row>
    <row r="8" spans="2:16" x14ac:dyDescent="0.25">
      <c r="B8" s="6" t="s">
        <v>315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25" zoomScale="90" zoomScaleNormal="90" workbookViewId="0">
      <selection activeCell="V9" sqref="V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hidden="1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45"/>
  <sheetViews>
    <sheetView showGridLines="0" topLeftCell="A31" workbookViewId="0">
      <selection activeCell="V9" sqref="V9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27.7109375" bestFit="1" customWidth="1"/>
    <col min="6" max="6" width="12.140625" bestFit="1" customWidth="1"/>
    <col min="7" max="7" width="19.140625" bestFit="1" customWidth="1"/>
    <col min="8" max="8" width="27.7109375" bestFit="1" customWidth="1"/>
    <col min="9" max="9" width="5.42578125" customWidth="1"/>
    <col min="10" max="10" width="21.140625" bestFit="1" customWidth="1"/>
    <col min="11" max="12" width="35.140625" bestFit="1" customWidth="1"/>
    <col min="13" max="16" width="9.7109375" bestFit="1" customWidth="1"/>
    <col min="17" max="17" width="15.5703125" bestFit="1" customWidth="1"/>
    <col min="18" max="18" width="12.140625" bestFit="1" customWidth="1"/>
  </cols>
  <sheetData>
    <row r="2" spans="2:5" x14ac:dyDescent="0.25">
      <c r="B2" s="15" t="s">
        <v>312</v>
      </c>
      <c r="C2" s="15"/>
      <c r="D2" s="15"/>
      <c r="E2" s="15"/>
    </row>
    <row r="5" spans="2:5" x14ac:dyDescent="0.25">
      <c r="B5" t="s">
        <v>311</v>
      </c>
    </row>
    <row r="7" spans="2:5" x14ac:dyDescent="0.25">
      <c r="C7" s="12" t="s">
        <v>308</v>
      </c>
      <c r="D7" t="s">
        <v>310</v>
      </c>
    </row>
    <row r="8" spans="2:5" x14ac:dyDescent="0.25">
      <c r="C8" s="13" t="s">
        <v>19</v>
      </c>
      <c r="D8" s="14">
        <v>1754</v>
      </c>
    </row>
    <row r="9" spans="2:5" x14ac:dyDescent="0.25">
      <c r="C9" s="13" t="s">
        <v>15</v>
      </c>
      <c r="D9" s="14">
        <v>3571</v>
      </c>
    </row>
    <row r="10" spans="2:5" x14ac:dyDescent="0.25">
      <c r="C10" s="13" t="s">
        <v>22</v>
      </c>
      <c r="D10" s="14">
        <v>2308</v>
      </c>
    </row>
    <row r="11" spans="2:5" x14ac:dyDescent="0.25">
      <c r="C11" s="13" t="s">
        <v>309</v>
      </c>
      <c r="D11" s="14">
        <v>7633</v>
      </c>
    </row>
    <row r="13" spans="2:5" x14ac:dyDescent="0.25">
      <c r="B13" t="s">
        <v>313</v>
      </c>
    </row>
    <row r="15" spans="2:5" x14ac:dyDescent="0.25">
      <c r="C15" s="12" t="s">
        <v>11</v>
      </c>
      <c r="D15" t="s">
        <v>22</v>
      </c>
    </row>
    <row r="17" spans="2:6" x14ac:dyDescent="0.25">
      <c r="C17" s="12" t="s">
        <v>308</v>
      </c>
      <c r="D17" t="s">
        <v>310</v>
      </c>
    </row>
    <row r="18" spans="2:6" x14ac:dyDescent="0.25">
      <c r="C18" s="13" t="s">
        <v>18</v>
      </c>
      <c r="D18" s="14">
        <v>806</v>
      </c>
    </row>
    <row r="19" spans="2:6" x14ac:dyDescent="0.25">
      <c r="C19" s="13" t="s">
        <v>14</v>
      </c>
      <c r="D19" s="14">
        <v>1502</v>
      </c>
    </row>
    <row r="20" spans="2:6" x14ac:dyDescent="0.25">
      <c r="C20" s="13" t="s">
        <v>309</v>
      </c>
      <c r="D20" s="14">
        <v>2308</v>
      </c>
    </row>
    <row r="23" spans="2:6" x14ac:dyDescent="0.25">
      <c r="B23" t="s">
        <v>320</v>
      </c>
    </row>
    <row r="26" spans="2:6" x14ac:dyDescent="0.25">
      <c r="C26" s="12" t="s">
        <v>11</v>
      </c>
      <c r="D26" t="s">
        <v>22</v>
      </c>
    </row>
    <row r="28" spans="2:6" x14ac:dyDescent="0.25">
      <c r="C28" s="12" t="s">
        <v>308</v>
      </c>
      <c r="D28" t="s">
        <v>322</v>
      </c>
    </row>
    <row r="29" spans="2:6" x14ac:dyDescent="0.25">
      <c r="C29" s="13" t="s">
        <v>17</v>
      </c>
      <c r="D29" s="16">
        <v>0</v>
      </c>
    </row>
    <row r="30" spans="2:6" x14ac:dyDescent="0.25">
      <c r="C30" s="13" t="s">
        <v>21</v>
      </c>
      <c r="D30" s="16">
        <v>0</v>
      </c>
    </row>
    <row r="31" spans="2:6" x14ac:dyDescent="0.25">
      <c r="C31" s="13" t="s">
        <v>13</v>
      </c>
      <c r="D31" s="16">
        <v>990</v>
      </c>
      <c r="F31" s="17">
        <f>GETPIVOTDATA("EA Play Season Pass
Price",$C$28)</f>
        <v>990</v>
      </c>
    </row>
    <row r="32" spans="2:6" x14ac:dyDescent="0.25">
      <c r="C32" s="13" t="s">
        <v>309</v>
      </c>
      <c r="D32" s="16">
        <v>990</v>
      </c>
    </row>
    <row r="36" spans="2:6" x14ac:dyDescent="0.25">
      <c r="B36" t="s">
        <v>323</v>
      </c>
    </row>
    <row r="39" spans="2:6" x14ac:dyDescent="0.25">
      <c r="C39" s="12" t="s">
        <v>11</v>
      </c>
      <c r="D39" t="s">
        <v>22</v>
      </c>
    </row>
    <row r="41" spans="2:6" x14ac:dyDescent="0.25">
      <c r="C41" s="12" t="s">
        <v>308</v>
      </c>
      <c r="D41" t="s">
        <v>321</v>
      </c>
    </row>
    <row r="42" spans="2:6" x14ac:dyDescent="0.25">
      <c r="C42" s="13" t="s">
        <v>17</v>
      </c>
      <c r="D42" s="14">
        <v>0</v>
      </c>
    </row>
    <row r="43" spans="2:6" x14ac:dyDescent="0.25">
      <c r="C43" s="13" t="s">
        <v>21</v>
      </c>
      <c r="D43" s="14">
        <v>480</v>
      </c>
    </row>
    <row r="44" spans="2:6" x14ac:dyDescent="0.25">
      <c r="C44" s="13" t="s">
        <v>13</v>
      </c>
      <c r="D44" s="14">
        <v>660</v>
      </c>
      <c r="F44" s="17">
        <f>GETPIVOTDATA("Minecraft Season Pass Price",$C$41)</f>
        <v>1140</v>
      </c>
    </row>
    <row r="45" spans="2:6" x14ac:dyDescent="0.25">
      <c r="C45" s="13" t="s">
        <v>309</v>
      </c>
      <c r="D45" s="14">
        <v>1140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C391"/>
  <sheetViews>
    <sheetView showGridLines="0" showRowColHeaders="0" tabSelected="1" zoomScale="85" zoomScaleNormal="85" workbookViewId="0">
      <selection activeCell="L38" sqref="L38"/>
    </sheetView>
  </sheetViews>
  <sheetFormatPr defaultRowHeight="15" x14ac:dyDescent="0.25"/>
  <cols>
    <col min="1" max="1" width="29.140625" style="3" customWidth="1"/>
    <col min="2" max="2" width="3.5703125" customWidth="1"/>
    <col min="12" max="12" width="6.5703125" customWidth="1"/>
  </cols>
  <sheetData>
    <row r="2" spans="2:29" ht="26.25" customHeight="1" thickBot="1" x14ac:dyDescent="0.5">
      <c r="C2" s="20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  <c r="T2" s="19"/>
    </row>
    <row r="3" spans="2:29" ht="18" customHeight="1" thickTop="1" x14ac:dyDescent="0.25"/>
    <row r="4" spans="2:29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2:29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2:29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2:29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2:29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2:29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2:29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2:29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2:29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2:29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2:29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2:29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2:29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2:29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2:29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2:2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2:29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2:29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2:29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2:29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2:2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2:29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2:2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2:29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2:29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2:29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2:29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2:29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2:29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2:29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2:29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2:29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2:29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2:29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2:29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2:29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2:29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2:29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2:29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2:29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2:29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2:29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2:29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2:29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2:29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2:29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2:29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2:29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2:29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2:29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2:29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2:29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2:29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2:29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2:29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2:29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2:29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2:29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2:29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2:29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2:29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2:29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2:29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2:29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2:29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2:29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2:29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2:29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2:29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2:29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2:29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2:29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2:29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2:29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2:29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2:29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2:29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2:29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2:29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2:29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2:29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2:29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2:29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2:29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2:29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2:29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2:29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2:29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2:29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2:29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2:29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2:29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2:29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2:29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2:29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2:29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2:29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2:29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2:29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2:29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2:29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2:29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2:29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2:29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2:29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2:29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2:29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2:29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2:29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2:29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2:29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2:29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2:29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2:29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2:29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2:29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2:29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2:29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2:29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2:29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2:29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2:29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2:29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2:29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2:29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2:29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2:29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2:29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2:29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2:29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2:29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2:29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2:29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2:29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2:29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2:29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2:29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2:29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2:29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2:29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2:29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2:29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2:29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2:29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2:29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2:29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2:29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2:29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2:29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2:29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2:29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2:29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2:29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2:29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2:29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2:29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2:29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2:29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2:29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2:29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2:29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2:29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2:29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2:29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2:29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2:29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2:29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2:29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2:29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2:29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2:29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2:29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2:29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2:29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2:29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2:29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2:29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2:29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2:29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2:29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2:29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2:29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2:29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2:29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2:29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2:29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2:29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2:29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2:29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2:29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2:29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2:29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2:29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2:29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2:29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2:29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2:29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2:29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2:29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2:29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2:29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2:29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2:29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2:29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2:29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2:29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2:29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2:29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2:29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2:29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2:29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2:29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2:29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2:29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2:29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2:29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2:29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2:29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2:29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2:29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2:29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2:29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2:29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2:29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2:29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2:29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2:29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2:29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2:29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2:29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2:29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2:29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2:29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2:29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2:29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2:29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2:29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2:29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2:29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2:29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2:29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2:29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2:29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2:29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2:29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2:29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2:29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2:29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2:29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2:29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2:29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2:29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2:29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2:29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2:29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2:29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2:29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2:29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2:29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2:29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2:29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2:29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2:29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2:29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2:29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2:29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2:29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2:29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2:29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2:29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2:29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2:29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2:29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2:29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2:29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2:29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2:29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2:29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2:29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2:29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2:29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2:29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2:29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2:29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2:29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2:29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2:29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2:29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2:29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2:29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2:29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2:29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2:29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2:29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2:29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2:29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2:29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2:29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2:29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2:29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2:29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2:29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2:29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2:29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2:29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2:29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2:29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2:29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2:29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2:29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2:29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2:29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2:29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2:29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2:29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2:29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2:29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2:29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2:29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2:29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2:29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2:29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2:29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2:29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2:29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2:29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2:29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2:29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2:29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2:29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2:29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2:29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2:29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2:29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2:29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2:29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2:29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2:29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2:29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2:29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2:29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2:29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2:29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2:29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2:29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2:29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2:29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2:29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2:29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2:29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2:29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2:29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2:29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2:29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2:29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2:29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2:29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2:29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2:29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2:29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2:29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2:29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2:29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2:29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2:29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2:29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2:29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2:29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2:29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2:29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2:29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2:29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2:29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2:29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2:29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2:29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2:29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2:29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2:29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2:29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2:29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2:29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2:29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2:29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2:29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Gabriela Soares Limeira de Araujo</cp:lastModifiedBy>
  <dcterms:created xsi:type="dcterms:W3CDTF">2024-12-19T13:13:10Z</dcterms:created>
  <dcterms:modified xsi:type="dcterms:W3CDTF">2026-02-01T18:46:16Z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